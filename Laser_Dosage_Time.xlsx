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Data" sheetId="2" state="visible" r:id="rId2"/>
  </sheets>
  <definedNames>
    <definedName name="Desired_Dose">Inputs!$B$1</definedName>
    <definedName name="Diameter_mm">Inputs!$B$2</definedName>
    <definedName name="Area_cm2">Inputs!$B$3</definedName>
    <definedName name="k_factor">Inputs!$B$8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applyProtection="1" pivotButton="0" quotePrefix="0" xfId="0">
      <protection locked="0" hidden="0"/>
    </xf>
    <xf numFmtId="164" fontId="0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Required Exposure Time vs Average Power</a:t>
            </a:r>
          </a:p>
        </rich>
      </tx>
    </title>
    <plotArea>
      <scatterChart>
        <ser>
          <idx val="0"/>
          <order val="0"/>
          <tx>
            <v>Exposure Time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'Data'!$A$2:$A$6</f>
            </numRef>
          </xVal>
          <yVal>
            <numRef>
              <f>'Data'!$C$2:$C$6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Power (mW)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Required Time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easurements" displayName="Measurements" ref="A1:D6" headerRowCount="1">
  <autoFilter ref="A1:D6"/>
  <tableColumns count="4">
    <tableColumn id="1" name="Power (mW)"/>
    <tableColumn id="2" name="Current (A)"/>
    <tableColumn id="3" name="Required Time (s)"/>
    <tableColumn id="4" name="Required Time (min)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Desired Dose (J/cm^2)</t>
        </is>
      </c>
      <c r="B1" s="2" t="n">
        <v>5</v>
      </c>
    </row>
    <row r="2">
      <c r="A2" s="1" t="inlineStr">
        <is>
          <t>Detector Diameter (mm)</t>
        </is>
      </c>
      <c r="B2" s="2" t="n">
        <v>19</v>
      </c>
    </row>
    <row r="3">
      <c r="A3" s="1" t="inlineStr">
        <is>
          <t>Detector Area (cm^2)</t>
        </is>
      </c>
      <c r="B3" s="3">
        <f>PI()*(B2/20)^2</f>
        <v/>
      </c>
    </row>
    <row r="4"/>
    <row r="5">
      <c r="A5" s="4" t="inlineStr">
        <is>
          <t>Formula (read-only): t[s] = 1000 * D(J/cm^2) * A(cm^2) / P(mW)</t>
        </is>
      </c>
    </row>
    <row r="6">
      <c r="A6" s="4" t="inlineStr">
        <is>
          <t>Note: Area comes from a circular detector with A = π * (diameter_cm/2)^2 = π * (diameter_mm/20)^2</t>
        </is>
      </c>
    </row>
    <row r="7"/>
    <row r="8">
      <c r="A8" s="1" t="inlineStr">
        <is>
          <t>Constant factor k = 1000 * D * A (J·cm^2-&gt;mW·s)</t>
        </is>
      </c>
      <c r="B8" s="5">
        <f>1000*B1*B3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2D7"/>
  <dataValidations count="2">
    <dataValidation sqref="B1" showDropDown="0" showInputMessage="0" showErrorMessage="0" allowBlank="0" errorTitle="Invalid Input" error="Desired dose must be a positive number" type="decimal" operator="greaterThan">
      <formula1>0</formula1>
    </dataValidation>
    <dataValidation sqref="B2" showDropDown="0" showInputMessage="0" showErrorMessage="0" allowBlank="0" errorTitle="Invalid Input" error="Detector diameter must be a positive number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Power (mW)</t>
        </is>
      </c>
      <c r="B1" s="1" t="inlineStr">
        <is>
          <t>Current (A)</t>
        </is>
      </c>
      <c r="C1" s="1" t="inlineStr">
        <is>
          <t>Required Time (s)</t>
        </is>
      </c>
      <c r="D1" s="1" t="inlineStr">
        <is>
          <t>Required Time (min)</t>
        </is>
      </c>
    </row>
    <row r="2">
      <c r="A2" t="n">
        <v>33</v>
      </c>
      <c r="B2" t="n">
        <v>0.72</v>
      </c>
      <c r="C2" s="6">
        <f>1000*Inputs!$B$1*Inputs!$B$3/A2</f>
        <v/>
      </c>
      <c r="D2" s="6">
        <f>C2/60</f>
        <v/>
      </c>
    </row>
    <row r="3">
      <c r="A3" t="n">
        <v>50</v>
      </c>
      <c r="B3" t="n">
        <v>0.87</v>
      </c>
      <c r="C3" s="6">
        <f>1000*Inputs!$B$1*Inputs!$B$3/A3</f>
        <v/>
      </c>
      <c r="D3" s="6">
        <f>C3/60</f>
        <v/>
      </c>
    </row>
    <row r="4">
      <c r="A4" t="n">
        <v>70</v>
      </c>
      <c r="B4" t="n">
        <v>1.08</v>
      </c>
      <c r="C4" s="6">
        <f>1000*Inputs!$B$1*Inputs!$B$3/A4</f>
        <v/>
      </c>
      <c r="D4" s="6">
        <f>C4/60</f>
        <v/>
      </c>
    </row>
    <row r="5">
      <c r="A5" t="n">
        <v>90</v>
      </c>
      <c r="B5" t="n">
        <v>1.25</v>
      </c>
      <c r="C5" s="6">
        <f>1000*Inputs!$B$1*Inputs!$B$3/A5</f>
        <v/>
      </c>
      <c r="D5" s="6">
        <f>C5/60</f>
        <v/>
      </c>
    </row>
    <row r="6">
      <c r="A6" t="n">
        <v>110</v>
      </c>
      <c r="B6" t="n">
        <v>1.46</v>
      </c>
      <c r="C6" s="6">
        <f>1000*Inputs!$B$1*Inputs!$B$3/A6</f>
        <v/>
      </c>
      <c r="D6" s="6">
        <f>C6/60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2025-09-17T14:09:17Z</dcterms:created>
  <dcterms:modified xsi:type="dcterms:W3CDTF">2025-09-17T14:09:17Z</dcterms:modified>
</cp:coreProperties>
</file>